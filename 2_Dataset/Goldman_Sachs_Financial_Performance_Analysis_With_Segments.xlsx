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b3592c1e5e42d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irmwide_Financials" sheetId="1" r:id="R28f9e90c7d5a4a4f"/>
    <x:sheet xmlns:r="http://schemas.openxmlformats.org/officeDocument/2006/relationships" name="Business_Segments" sheetId="2" r:id="R60c1dac03b104bd2"/>
    <x:sheet xmlns:r="http://schemas.openxmlformats.org/officeDocument/2006/relationships" name="Financial_Calculations" sheetId="3" r:id="R2e438caee0684a14"/>
    <x:sheet xmlns:r="http://schemas.openxmlformats.org/officeDocument/2006/relationships" name="Data_Dictionary" sheetId="4" r:id="R256de9fffb1c4591"/>
    <x:sheet xmlns:r="http://schemas.openxmlformats.org/officeDocument/2006/relationships" name="Source_Log" sheetId="5" r:id="R6e4bd3d10552400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;[Red](#,##0);-"/>
    <x:numFmt numFmtId="201" formatCode="$0.00;[Red]($0.00);-"/>
    <x:numFmt numFmtId="202" formatCode="0.0%;[Red](0.0%);-"/>
    <x:numFmt numFmtId="203" formatCode="yyyy-mm-dd"/>
  </x:numFmts>
  <x:fonts count="7">
    <x:font>
      <x:sz val="11"/>
      <x:name val="Carlito"/>
    </x:font>
    <x:font>
      <x:b/>
      <x:sz val="11"/>
      <x:color rgb="FFFFFFFF"/>
      <x:name val="Carlito"/>
    </x:font>
    <x:font>
      <x:sz val="11"/>
      <x:color rgb="FF0000FF"/>
      <x:name val="Carlito"/>
    </x:font>
    <x:font>
      <x:sz val="11"/>
      <x:color rgb="FF000000"/>
      <x:name val="Carlito"/>
    </x:font>
    <x:font>
      <x:sz val="11"/>
      <x:color rgb="FF008000"/>
      <x:name val="Carlito"/>
    </x:font>
    <x:font>
      <x:b/>
      <x:sz val="11"/>
      <x:name val="Carlito"/>
    </x:font>
    <x:font>
      <x:b/>
      <x:sz val="11"/>
      <x:color rgb="FF000000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0B1F3A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3F4F6"/>
      </x:patternFill>
    </x:fill>
    <x:fill>
      <x:patternFill patternType="solid">
        <x:fgColor rgb="FFFFF2CC"/>
      </x:patternFill>
    </x:fill>
    <x:fill>
      <x:patternFill patternType="solid">
        <x:fgColor rgb="FFFFF2CC"/>
      </x:patternFill>
    </x:fill>
    <x:fill>
      <x:patternFill patternType="solid">
        <x:fgColor rgb="FF17365D"/>
      </x:patternFill>
    </x:fill>
    <x:fill>
      <x:patternFill patternType="solid">
        <x:fgColor rgb="FFFFF2CC"/>
      </x:patternFill>
    </x:fill>
  </x:fills>
  <x:borders count="4">
    <x:border/>
    <x:border/>
    <x:border/>
    <x:border/>
  </x:borders>
  <x:cellStyleXfs count="1">
    <x:xf numFmtId="0" fontId="0" fillId="0" borderId="0"/>
  </x:cellStyleXfs>
  <x:cellXfs count="10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1" fillId="2" borderId="2" xfId="0" applyNumberFormat="1" applyFont="1" applyFill="1" applyBorder="1" applyAlignment="1">
      <x:alignment horizontal="center" vertical="center" wrapText="1"/>
    </x:xf>
    <x:xf numFmtId="0" fontId="2" fillId="0" borderId="2" xfId="0" applyNumberFormat="1" applyFont="1" applyFill="1" applyBorder="1"/>
    <x:xf numFmtId="0" fontId="1" fillId="2" borderId="3" xfId="0" applyNumberFormat="1" applyFont="1" applyFill="1" applyBorder="1" applyAlignment="1">
      <x:alignment horizontal="center" vertical="center" wrapText="1"/>
    </x:xf>
    <x:xf numFmtId="0" fontId="2" fillId="0" borderId="3" xfId="0" applyNumberFormat="1" applyFont="1" applyFill="1" applyBorder="1"/>
    <x:xf numFmtId="200" fontId="2" fillId="0" borderId="2" xfId="0" applyNumberFormat="1" applyFont="1" applyFill="1" applyBorder="1"/>
    <x:xf numFmtId="200" fontId="2" fillId="0" borderId="3" xfId="0" applyNumberFormat="1" applyFont="1" applyFill="1" applyBorder="1"/>
    <x:xf numFmtId="201" fontId="2" fillId="0" borderId="2" xfId="0" applyNumberFormat="1" applyFont="1" applyFill="1" applyBorder="1"/>
    <x:xf numFmtId="201" fontId="2" fillId="0" borderId="3" xfId="0" applyNumberFormat="1" applyFont="1" applyFill="1" applyBorder="1"/>
    <x:xf numFmtId="202" fontId="2" fillId="0" borderId="2" xfId="0" applyNumberFormat="1" applyFont="1" applyFill="1" applyBorder="1"/>
    <x:xf numFmtId="202" fontId="2" fillId="0" borderId="3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left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left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top" wrapText="1"/>
    </x:xf>
    <x:xf numFmtId="200" fontId="2" fillId="0" borderId="0" xfId="0" applyNumberFormat="1" applyFont="1" applyFill="1" applyBorder="1"/>
    <x:xf numFmtId="200" fontId="2" fillId="0" borderId="1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202" fontId="4" fillId="0" borderId="0" xfId="0" applyNumberFormat="1" applyFont="1" applyFill="1" applyBorder="1"/>
    <x:xf numFmtId="202" fontId="4" fillId="0" borderId="1" xfId="0" applyNumberFormat="1" applyFont="1" applyFill="1" applyBorder="1"/>
    <x:xf numFmtId="0" fontId="3" fillId="0" borderId="2" xfId="0" applyNumberFormat="1" applyFont="1" applyFill="1" applyBorder="1"/>
    <x:xf numFmtId="202" fontId="4" fillId="0" borderId="2" xfId="0" applyNumberFormat="1" applyFont="1" applyFill="1" applyBorder="1"/>
    <x:xf numFmtId="0" fontId="3" fillId="0" borderId="3" xfId="0" applyNumberFormat="1" applyFont="1" applyFill="1" applyBorder="1"/>
    <x:xf numFmtId="202" fontId="4" fillId="0" borderId="3" xfId="0" applyNumberFormat="1" applyFont="1" applyFill="1" applyBorder="1"/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0" fillId="5" borderId="1" xfId="0" applyNumberFormat="1" applyFont="1" applyFill="1" applyBorder="1"/>
    <x:xf numFmtId="0" fontId="5" fillId="5" borderId="1" xfId="0" applyNumberFormat="1" applyFont="1" applyFill="1" applyBorder="1"/>
    <x:xf numFmtId="200" fontId="4" fillId="0" borderId="0" xfId="0" applyNumberFormat="1" applyFont="1" applyFill="1" applyBorder="1"/>
    <x:xf numFmtId="200" fontId="4" fillId="0" borderId="1" xfId="0" applyNumberFormat="1" applyFont="1" applyFill="1" applyBorder="1"/>
    <x:xf numFmtId="201" fontId="4" fillId="0" borderId="0" xfId="0" applyNumberFormat="1" applyFont="1" applyFill="1" applyBorder="1"/>
    <x:xf numFmtId="201" fontId="4" fillId="0" borderId="1" xfId="0" applyNumberFormat="1" applyFont="1" applyFill="1" applyBorder="1"/>
    <x:xf numFmtId="0" fontId="1" fillId="3" borderId="2" xfId="0" applyNumberFormat="1" applyFont="1" applyFill="1" applyBorder="1" applyAlignment="1">
      <x:alignment horizontal="left"/>
    </x:xf>
    <x:xf numFmtId="0" fontId="5" fillId="5" borderId="2" xfId="0" applyNumberFormat="1" applyFont="1" applyFill="1" applyBorder="1"/>
    <x:xf numFmtId="0" fontId="4" fillId="0" borderId="2" xfId="0" applyNumberFormat="1" applyFont="1" applyFill="1" applyBorder="1"/>
    <x:xf numFmtId="200" fontId="4" fillId="0" borderId="2" xfId="0" applyNumberFormat="1" applyFont="1" applyFill="1" applyBorder="1"/>
    <x:xf numFmtId="201" fontId="4" fillId="0" borderId="2" xfId="0" applyNumberFormat="1" applyFont="1" applyFill="1" applyBorder="1"/>
    <x:xf numFmtId="0" fontId="1" fillId="3" borderId="3" xfId="0" applyNumberFormat="1" applyFont="1" applyFill="1" applyBorder="1" applyAlignment="1">
      <x:alignment horizontal="left"/>
    </x:xf>
    <x:xf numFmtId="0" fontId="5" fillId="5" borderId="3" xfId="0" applyNumberFormat="1" applyFont="1" applyFill="1" applyBorder="1"/>
    <x:xf numFmtId="0" fontId="4" fillId="0" borderId="3" xfId="0" applyNumberFormat="1" applyFont="1" applyFill="1" applyBorder="1"/>
    <x:xf numFmtId="200" fontId="4" fillId="0" borderId="3" xfId="0" applyNumberFormat="1" applyFont="1" applyFill="1" applyBorder="1"/>
    <x:xf numFmtId="201" fontId="4" fillId="0" borderId="3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2" xfId="0" applyNumberFormat="1" applyFont="1" applyFill="1" applyBorder="1" applyAlignment="1">
      <x:alignment horizontal="center"/>
    </x:xf>
    <x:xf numFmtId="0" fontId="0" fillId="0" borderId="2" xfId="0" applyNumberFormat="1" applyFont="1" applyFill="1" applyBorder="1"/>
    <x:xf numFmtId="0" fontId="1" fillId="2" borderId="3" xfId="0" applyNumberFormat="1" applyFont="1" applyFill="1" applyBorder="1" applyAlignment="1">
      <x:alignment horizontal="center"/>
    </x:xf>
    <x:xf numFmtId="0" fontId="0" fillId="0" borderId="3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203" fontId="2" fillId="0" borderId="2" xfId="0" applyNumberFormat="1" applyFont="1" applyFill="1" applyBorder="1"/>
    <x:xf numFmtId="203" fontId="2" fillId="0" borderId="3" xfId="0" applyNumberFormat="1" applyFont="1" applyFill="1" applyBorder="1"/>
    <x:xf numFmtId="0" fontId="2" fillId="0" borderId="2" xfId="0" applyNumberFormat="1" applyFont="1" applyFill="1" applyBorder="1" applyAlignment="1">
      <x:alignment wrapText="1"/>
    </x:xf>
    <x:xf numFmtId="203" fontId="2" fillId="0" borderId="2" xfId="0" applyNumberFormat="1" applyFont="1" applyFill="1" applyBorder="1" applyAlignment="1">
      <x:alignment wrapText="1"/>
    </x:xf>
    <x:xf numFmtId="0" fontId="2" fillId="0" borderId="3" xfId="0" applyNumberFormat="1" applyFont="1" applyFill="1" applyBorder="1" applyAlignment="1">
      <x:alignment wrapText="1"/>
    </x:xf>
    <x:xf numFmtId="203" fontId="2" fillId="0" borderId="3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201" fontId="2" fillId="0" borderId="0" xfId="0" applyNumberFormat="1" applyFont="1" applyFill="1" applyBorder="1"/>
    <x:xf numFmtId="202" fontId="2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3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203" fontId="2" fillId="0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1" fillId="8" borderId="0" xfId="0" applyNumberFormat="1" applyFont="1" applyFill="1" applyBorder="1"/>
    <x:xf numFmtId="0" fontId="0" fillId="9" borderId="0" xfId="0" applyNumberFormat="1" applyFont="1" applyFill="1" applyBorder="1"/>
    <x:xf numFmtId="0" fontId="3" fillId="9" borderId="0" xfId="0" applyNumberFormat="1" applyFont="1" applyFill="1" applyBorder="1"/>
    <x:xf numFmtId="0" fontId="3" fillId="9" borderId="0" xfId="0" applyNumberFormat="1" applyFont="1" applyFill="1" applyBorder="1" applyAlignment="1">
      <x:alignment wrapText="1"/>
    </x:xf>
    <x:xf numFmtId="0" fontId="3" fillId="9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17c5341d2114027" /><Relationship Type="http://schemas.openxmlformats.org/officeDocument/2006/relationships/theme" Target="/xl/theme/theme1.xml" Id="Rca7b5d8a51374dce" /><Relationship Type="http://schemas.openxmlformats.org/officeDocument/2006/relationships/sharedStrings" Target="/xl/sharedStrings.xml" Id="R27a446f538b847ba" /><Relationship Type="http://schemas.openxmlformats.org/officeDocument/2006/relationships/worksheet" Target="/xl/worksheets/sheet1.xml" Id="R28f9e90c7d5a4a4f" /><Relationship Type="http://schemas.openxmlformats.org/officeDocument/2006/relationships/worksheet" Target="/xl/worksheets/sheet2.xml" Id="R60c1dac03b104bd2" /><Relationship Type="http://schemas.openxmlformats.org/officeDocument/2006/relationships/worksheet" Target="/xl/worksheets/sheet3.xml" Id="R2e438caee0684a14" /><Relationship Type="http://schemas.openxmlformats.org/officeDocument/2006/relationships/worksheet" Target="/xl/worksheets/sheet4.xml" Id="R256de9fffb1c4591" /><Relationship Type="http://schemas.openxmlformats.org/officeDocument/2006/relationships/worksheet" Target="/xl/worksheets/sheet5.xml" Id="R6e4bd3d10552400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16" hidden="0" customWidth="1"/>
    <x:col min="7" max="7" width="16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 ht="21" customHeight="1">
      <x:c r="A1" s="14" t="str">
        <x:v>year</x:v>
      </x:c>
      <x:c r="B1" s="14" t="str">
        <x:v>net_revenues_mm</x:v>
      </x:c>
      <x:c r="C1" s="14" t="str">
        <x:v>operating_expenses_mm</x:v>
      </x:c>
      <x:c r="D1" s="14" t="str">
        <x:v>pre_tax_earnings_mm</x:v>
      </x:c>
      <x:c r="E1" s="14" t="str">
        <x:v>net_earnings_mm</x:v>
      </x:c>
      <x:c r="F1" s="14" t="str">
        <x:v>diluted_eps</x:v>
      </x:c>
      <x:c r="G1" s="14" t="str">
        <x:v>roe_percent</x:v>
      </x:c>
      <x:c r="I1" s="26" t="str">
        <x:v>Input Notes</x:v>
      </x:c>
      <x:c r="J1" s="26"/>
      <x:c r="K1" s="26"/>
      <x:c r="L1" s="26"/>
    </x:row>
    <x:row r="2" ht="21" customHeight="1">
      <x:c r="A2" s="15" t="n">
        <x:v>2021</x:v>
      </x:c>
      <x:c r="B2" s="18" t="n">
        <x:v>59339</x:v>
      </x:c>
      <x:c r="C2" s="18" t="n">
        <x:v>31938</x:v>
      </x:c>
      <x:c r="D2" s="18" t="n">
        <x:v>27044</x:v>
      </x:c>
      <x:c r="E2" s="18" t="n">
        <x:v>21635</x:v>
      </x:c>
      <x:c r="F2" s="20" t="n">
        <x:v>59.45</x:v>
      </x:c>
      <x:c r="G2" s="22" t="n">
        <x:v>0.23</x:v>
      </x:c>
      <x:c r="I2" s="33" t="str">
        <x:v>Enter only publicly reported Goldman Sachs figures. Amounts in columns B–E are in USD millions. Use the Source_Log tab to document every source. Blue text indicates hardcoded source inputs.</x:v>
      </x:c>
      <x:c r="J2" s="33"/>
      <x:c r="K2" s="33"/>
      <x:c r="L2" s="33"/>
    </x:row>
    <x:row r="3" ht="21" customHeight="1">
      <x:c r="A3" s="15" t="n">
        <x:v>2022</x:v>
      </x:c>
      <x:c r="B3" s="18" t="n">
        <x:v>47365</x:v>
      </x:c>
      <x:c r="C3" s="18" t="n">
        <x:v>31164</x:v>
      </x:c>
      <x:c r="D3" s="18" t="n">
        <x:v>13486</x:v>
      </x:c>
      <x:c r="E3" s="18" t="n">
        <x:v>11261</x:v>
      </x:c>
      <x:c r="F3" s="20" t="n">
        <x:v>30.06</x:v>
      </x:c>
      <x:c r="G3" s="22" t="n">
        <x:v>0.102</x:v>
      </x:c>
      <x:c r="I3" s="33"/>
      <x:c r="J3" s="33"/>
      <x:c r="K3" s="33"/>
      <x:c r="L3" s="33"/>
    </x:row>
    <x:row r="4" ht="21" customHeight="1">
      <x:c r="A4" s="15" t="n">
        <x:v>2023</x:v>
      </x:c>
      <x:c r="B4" s="18" t="n">
        <x:v>46254</x:v>
      </x:c>
      <x:c r="C4" s="18" t="n">
        <x:v>34487</x:v>
      </x:c>
      <x:c r="D4" s="18" t="n">
        <x:v>10739</x:v>
      </x:c>
      <x:c r="E4" s="18" t="n">
        <x:v>8516</x:v>
      </x:c>
      <x:c r="F4" s="20" t="n">
        <x:v>22.87</x:v>
      </x:c>
      <x:c r="G4" s="22" t="n">
        <x:v>0.075</x:v>
      </x:c>
      <x:c r="I4" s="33"/>
      <x:c r="J4" s="33"/>
      <x:c r="K4" s="33"/>
      <x:c r="L4" s="33"/>
    </x:row>
    <x:row r="5" ht="21" customHeight="1">
      <x:c r="A5" s="15" t="n">
        <x:v>2024</x:v>
      </x:c>
      <x:c r="B5" s="18" t="n">
        <x:v>53512</x:v>
      </x:c>
      <x:c r="C5" s="18" t="n">
        <x:v>33767</x:v>
      </x:c>
      <x:c r="D5" s="18" t="n">
        <x:v>18397</x:v>
      </x:c>
      <x:c r="E5" s="18" t="n">
        <x:v>14276</x:v>
      </x:c>
      <x:c r="F5" s="20" t="n">
        <x:v>40.54</x:v>
      </x:c>
      <x:c r="G5" s="22" t="n">
        <x:v>0.127</x:v>
      </x:c>
      <x:c r="I5" s="33"/>
      <x:c r="J5" s="33"/>
      <x:c r="K5" s="33"/>
      <x:c r="L5" s="33"/>
    </x:row>
    <x:row r="6" ht="21" customHeight="1">
      <x:c r="A6" s="15" t="n">
        <x:v>2025</x:v>
      </x:c>
      <x:c r="B6" s="18" t="n">
        <x:v>58283</x:v>
      </x:c>
      <x:c r="C6" s="18" t="n">
        <x:v>37544</x:v>
      </x:c>
      <x:c r="D6" s="18" t="n">
        <x:v>21852</x:v>
      </x:c>
      <x:c r="E6" s="18" t="n">
        <x:v>17176</x:v>
      </x:c>
      <x:c r="F6" s="20" t="n">
        <x:v>51.32</x:v>
      </x:c>
      <x:c r="G6" s="22" t="n">
        <x:v>0.15</x:v>
      </x:c>
    </x:row>
    <x:row r="7">
      <x:c r="I7" s="98" t="str">
        <x:v>Source mapping: each fiscal-year row is documented in Source_Log using the matching fiscal year (GS_AR_2021 through GS_AR_2025).</x:v>
      </x:c>
      <x:c r="J7" s="98"/>
      <x:c r="K7" s="98"/>
      <x:c r="L7" s="98"/>
    </x:row>
  </x:sheetData>
  <x:mergeCells>
    <x:mergeCell ref="I1:L1"/>
    <x:mergeCell ref="I2:L5"/>
    <x:mergeCell ref="I7:L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0" hidden="0" customWidth="1"/>
    <x:col min="3" max="3" width="22" hidden="0" customWidth="1"/>
    <x:col min="4" max="4" width="22" hidden="0" customWidth="1"/>
    <x:col min="5" max="5" width="16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>
      <x:c r="A1" s="14" t="str">
        <x:v>year</x:v>
      </x:c>
      <x:c r="B1" s="14" t="str">
        <x:v>segment_name</x:v>
      </x:c>
      <x:c r="C1" s="14" t="str">
        <x:v>net_revenues_mm</x:v>
      </x:c>
      <x:c r="D1" s="14" t="str">
        <x:v>pre_tax_earnings_mm</x:v>
      </x:c>
      <x:c r="E1" s="14" t="str">
        <x:v>source_id</x:v>
      </x:c>
      <x:c r="G1" s="25" t="str">
        <x:v>Segment Data Notes</x:v>
      </x:c>
      <x:c r="H1" s="25"/>
      <x:c r="I1" s="25"/>
      <x:c r="J1" s="25"/>
    </x:row>
    <x:row r="2">
      <x:c r="A2" s="12" t="n">
        <x:v>2023</x:v>
      </x:c>
      <x:c r="B2" s="12" t="str">
        <x:v>Global Banking &amp; Markets</x:v>
      </x:c>
      <x:c r="C2" s="38" t="n">
        <x:v>29994</x:v>
      </x:c>
      <x:c r="D2" s="38" t="n">
        <x:v>11000</x:v>
      </x:c>
      <x:c r="E2" s="12" t="str">
        <x:v>GS_2025_10K_SEGMENTS</x:v>
      </x:c>
      <x:c r="G2" s="41" t="str">
        <x:v>Use one row per reported business segment per year. Segment names should match Goldman's official reporting for that fiscal year. If segment structure changes, document the change in Source_Log before comparing years.</x:v>
      </x:c>
      <x:c r="H2" s="41"/>
      <x:c r="I2" s="41"/>
      <x:c r="J2" s="41"/>
    </x:row>
    <x:row r="3">
      <x:c r="A3" s="12" t="n">
        <x:v>2023</x:v>
      </x:c>
      <x:c r="B3" s="12" t="str">
        <x:v>Asset &amp; Wealth Management</x:v>
      </x:c>
      <x:c r="C3" s="38" t="n">
        <x:v>14202</x:v>
      </x:c>
      <x:c r="D3" s="38" t="n">
        <x:v>1763</x:v>
      </x:c>
      <x:c r="E3" s="12" t="str">
        <x:v>GS_2025_10K_SEGMENTS</x:v>
      </x:c>
      <x:c r="G3" s="41"/>
      <x:c r="H3" s="41"/>
      <x:c r="I3" s="41"/>
      <x:c r="J3" s="41"/>
    </x:row>
    <x:row r="4">
      <x:c r="A4" s="12" t="n">
        <x:v>2023</x:v>
      </x:c>
      <x:c r="B4" s="12" t="str">
        <x:v>Platform Solutions</x:v>
      </x:c>
      <x:c r="C4" s="38" t="n">
        <x:v>2058</x:v>
      </x:c>
      <x:c r="D4" s="38" t="n">
        <x:v>-2024</x:v>
      </x:c>
      <x:c r="E4" s="12" t="str">
        <x:v>GS_2025_10K_SEGMENTS</x:v>
      </x:c>
      <x:c r="G4" s="41"/>
      <x:c r="H4" s="41"/>
      <x:c r="I4" s="41"/>
      <x:c r="J4" s="41"/>
    </x:row>
    <x:row r="5">
      <x:c r="A5" s="12" t="n">
        <x:v>2024</x:v>
      </x:c>
      <x:c r="B5" s="12" t="str">
        <x:v>Global Banking &amp; Markets</x:v>
      </x:c>
      <x:c r="C5" s="38" t="n">
        <x:v>35067</x:v>
      </x:c>
      <x:c r="D5" s="38" t="n">
        <x:v>14529</x:v>
      </x:c>
      <x:c r="E5" s="12" t="str">
        <x:v>GS_2025_10K_SEGMENTS</x:v>
      </x:c>
      <x:c r="G5" s="41"/>
      <x:c r="H5" s="41"/>
      <x:c r="I5" s="41"/>
      <x:c r="J5" s="41"/>
    </x:row>
    <x:row r="6">
      <x:c r="A6" s="12" t="n">
        <x:v>2024</x:v>
      </x:c>
      <x:c r="B6" s="12" t="str">
        <x:v>Asset &amp; Wealth Management</x:v>
      </x:c>
      <x:c r="C6" s="38" t="n">
        <x:v>16316</x:v>
      </x:c>
      <x:c r="D6" s="38" t="n">
        <x:v>4865</x:v>
      </x:c>
      <x:c r="E6" s="12" t="str">
        <x:v>GS_2025_10K_SEGMENTS</x:v>
      </x:c>
    </x:row>
    <x:row r="7">
      <x:c r="A7" s="12" t="n">
        <x:v>2024</x:v>
      </x:c>
      <x:c r="B7" s="12" t="str">
        <x:v>Platform Solutions</x:v>
      </x:c>
      <x:c r="C7" s="38" t="n">
        <x:v>2129</x:v>
      </x:c>
      <x:c r="D7" s="38" t="n">
        <x:v>-997</x:v>
      </x:c>
      <x:c r="E7" s="12" t="str">
        <x:v>GS_2025_10K_SEGMENTS</x:v>
      </x:c>
      <x:c r="G7" s="100" t="str">
        <x:v>Comparability Note</x:v>
      </x:c>
      <x:c r="H7" s="100"/>
      <x:c r="I7" s="100"/>
      <x:c r="J7" s="100"/>
    </x:row>
    <x:row r="8">
      <x:c r="A8" s="12" t="n">
        <x:v>2025</x:v>
      </x:c>
      <x:c r="B8" s="12" t="str">
        <x:v>Global Banking &amp; Markets</x:v>
      </x:c>
      <x:c r="C8" s="38" t="n">
        <x:v>41453</x:v>
      </x:c>
      <x:c r="D8" s="38" t="n">
        <x:v>17574</x:v>
      </x:c>
      <x:c r="E8" s="12" t="str">
        <x:v>GS_2025_10K_SEGMENTS</x:v>
      </x:c>
      <x:c r="G8" s="104" t="str">
        <x:v>The 2023–2025 segment figures use Goldman's 2025 Form 10-K presentation. Goldman changed certain segment classifications beginning in Q4 2025 and conformed prior-period segment results so the years are presented on a comparable basis.</x:v>
      </x:c>
      <x:c r="H8" s="104"/>
      <x:c r="I8" s="104"/>
      <x:c r="J8" s="104"/>
    </x:row>
    <x:row r="9">
      <x:c r="A9" s="12" t="n">
        <x:v>2025</x:v>
      </x:c>
      <x:c r="B9" s="12" t="str">
        <x:v>Asset &amp; Wealth Management</x:v>
      </x:c>
      <x:c r="C9" s="38" t="n">
        <x:v>16679</x:v>
      </x:c>
      <x:c r="D9" s="38" t="n">
        <x:v>4127</x:v>
      </x:c>
      <x:c r="E9" s="12" t="str">
        <x:v>GS_2025_10K_SEGMENTS</x:v>
      </x:c>
      <x:c r="G9" s="104"/>
      <x:c r="H9" s="104"/>
      <x:c r="I9" s="104"/>
      <x:c r="J9" s="104"/>
    </x:row>
    <x:row r="10">
      <x:c r="A10" s="12" t="n">
        <x:v>2025</x:v>
      </x:c>
      <x:c r="B10" s="12" t="str">
        <x:v>Platform Solutions</x:v>
      </x:c>
      <x:c r="C10" s="38" t="n">
        <x:v>151</x:v>
      </x:c>
      <x:c r="D10" s="38" t="n">
        <x:v>151</x:v>
      </x:c>
      <x:c r="E10" s="12" t="str">
        <x:v>GS_2025_10K_SEGMENTS</x:v>
      </x:c>
      <x:c r="G10" s="104"/>
      <x:c r="H10" s="104"/>
      <x:c r="I10" s="104"/>
      <x:c r="J10" s="104"/>
    </x:row>
    <x:row r="11">
      <x:c r="G11" s="104"/>
      <x:c r="H11" s="104"/>
      <x:c r="I11" s="104"/>
      <x:c r="J11" s="104"/>
    </x:row>
    <x:row r="12">
      <x:c r="G12" s="104"/>
      <x:c r="H12" s="104"/>
      <x:c r="I12" s="104"/>
      <x:c r="J12" s="104"/>
    </x:row>
  </x:sheetData>
  <x:mergeCells>
    <x:mergeCell ref="G1:J1"/>
    <x:mergeCell ref="G2:J5"/>
    <x:mergeCell ref="G7:J7"/>
    <x:mergeCell ref="G8:J1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10" max="10" width="24" hidden="0" customWidth="1"/>
    <x:col min="11" max="11" width="16" hidden="0" customWidth="1"/>
  </x:cols>
  <x:sheetData>
    <x:row r="1">
      <x:c r="A1" s="14" t="str">
        <x:v>year</x:v>
      </x:c>
      <x:c r="B1" s="14" t="str">
        <x:v>revenue_yoy_growth</x:v>
      </x:c>
      <x:c r="C1" s="14" t="str">
        <x:v>expense_yoy_growth</x:v>
      </x:c>
      <x:c r="D1" s="14" t="str">
        <x:v>net_earnings_yoy_growth</x:v>
      </x:c>
      <x:c r="E1" s="14" t="str">
        <x:v>net_profit_margin</x:v>
      </x:c>
      <x:c r="F1" s="14" t="str">
        <x:v>expense_to_revenue_ratio</x:v>
      </x:c>
      <x:c r="G1" s="14" t="str">
        <x:v>eps_yoy_growth</x:v>
      </x:c>
      <x:c r="H1" s="14" t="str">
        <x:v>roe_percent</x:v>
      </x:c>
      <x:c r="J1" s="62" t="str">
        <x:v>Latest-Year KPI Snapshot</x:v>
      </x:c>
      <x:c r="K1" s="62"/>
    </x:row>
    <x:row r="2">
      <x:c r="A2" s="50" t="n">
        <x:v>2021</x:v>
      </x:c>
      <x:c r="B2" s="51" t="str">
        <x:f>""</x:f>
      </x:c>
      <x:c r="C2" s="51" t="str">
        <x:f>""</x:f>
      </x:c>
      <x:c r="D2" s="51" t="str">
        <x:f>""</x:f>
      </x:c>
      <x:c r="E2" s="51" t="n">
        <x:f>IFERROR(Firmwide_Financials!E2/Firmwide_Financials!B2,"")</x:f>
        <x:v>0.36460001011139387</x:v>
      </x:c>
      <x:c r="F2" s="51" t="n">
        <x:f>IFERROR(Firmwide_Financials!C2/Firmwide_Financials!B2,"")</x:f>
        <x:v>0.5382294949358769</x:v>
      </x:c>
      <x:c r="G2" s="51" t="str">
        <x:f>""</x:f>
      </x:c>
      <x:c r="H2" s="51" t="n">
        <x:f>IF(Firmwide_Financials!G2="","",Firmwide_Financials!G2)</x:f>
        <x:v>0.23</x:v>
      </x:c>
      <x:c r="J2" s="63" t="str">
        <x:v>Latest Year</x:v>
      </x:c>
      <x:c r="K2" s="64" t="n">
        <x:f>Firmwide_Financials!A6</x:f>
        <x:v>2025</x:v>
      </x:c>
    </x:row>
    <x:row r="3">
      <x:c r="A3" s="50" t="n">
        <x:v>2022</x:v>
      </x:c>
      <x:c r="B3" s="51" t="n">
        <x:f>IFERROR(Firmwide_Financials!B3/Firmwide_Financials!B2-1,"")</x:f>
        <x:v>-0.20178971671244883</x:v>
      </x:c>
      <x:c r="C3" s="51" t="n">
        <x:f>IFERROR(Firmwide_Financials!C3/Firmwide_Financials!C2-1,"")</x:f>
        <x:v>-0.024234454255119275</x:v>
      </x:c>
      <x:c r="D3" s="51" t="n">
        <x:f>IFERROR(Firmwide_Financials!E3/Firmwide_Financials!E2-1,"")</x:f>
        <x:v>-0.47950080887450885</x:v>
      </x:c>
      <x:c r="E3" s="51" t="n">
        <x:f>IFERROR(Firmwide_Financials!E3/Firmwide_Financials!B3,"")</x:f>
        <x:v>0.23774939301171752</x:v>
      </x:c>
      <x:c r="F3" s="51" t="n">
        <x:f>IFERROR(Firmwide_Financials!C3/Firmwide_Financials!B3,"")</x:f>
        <x:v>0.6579541855800697</x:v>
      </x:c>
      <x:c r="G3" s="51" t="n">
        <x:f>IFERROR(Firmwide_Financials!F3/Firmwide_Financials!F2-1,"")</x:f>
        <x:v>-0.4943650126156435</x:v>
      </x:c>
      <x:c r="H3" s="51" t="n">
        <x:f>IF(Firmwide_Financials!G3="","",Firmwide_Financials!G3)</x:f>
        <x:v>0.102</x:v>
      </x:c>
      <x:c r="J3" s="63" t="str">
        <x:v>Net Revenues (USD mm)</x:v>
      </x:c>
      <x:c r="K3" s="65" t="n">
        <x:f>IF(Firmwide_Financials!B6="","",Firmwide_Financials!B6)</x:f>
        <x:v>58283</x:v>
      </x:c>
    </x:row>
    <x:row r="4">
      <x:c r="A4" s="50" t="n">
        <x:v>2023</x:v>
      </x:c>
      <x:c r="B4" s="51" t="n">
        <x:f>IFERROR(Firmwide_Financials!B4/Firmwide_Financials!B3-1,"")</x:f>
        <x:v>-0.02345613849889161</x:v>
      </x:c>
      <x:c r="C4" s="51" t="n">
        <x:f>IFERROR(Firmwide_Financials!C4/Firmwide_Financials!C3-1,"")</x:f>
        <x:v>0.10662944423052245</x:v>
      </x:c>
      <x:c r="D4" s="51" t="n">
        <x:f>IFERROR(Firmwide_Financials!E4/Firmwide_Financials!E3-1,"")</x:f>
        <x:v>-0.24376165527040228</x:v>
      </x:c>
      <x:c r="E4" s="51" t="n">
        <x:f>IFERROR(Firmwide_Financials!E4/Firmwide_Financials!B4,"")</x:f>
        <x:v>0.18411380637350283</x:v>
      </x:c>
      <x:c r="F4" s="51" t="n">
        <x:f>IFERROR(Firmwide_Financials!C4/Firmwide_Financials!B4,"")</x:f>
        <x:v>0.7456003805076318</x:v>
      </x:c>
      <x:c r="G4" s="51" t="n">
        <x:f>IFERROR(Firmwide_Financials!F4/Firmwide_Financials!F3-1,"")</x:f>
        <x:v>-0.23918829008649356</x:v>
      </x:c>
      <x:c r="H4" s="51" t="n">
        <x:f>IF(Firmwide_Financials!G4="","",Firmwide_Financials!G4)</x:f>
        <x:v>0.075</x:v>
      </x:c>
      <x:c r="J4" s="63" t="str">
        <x:v>Net Earnings (USD mm)</x:v>
      </x:c>
      <x:c r="K4" s="65" t="n">
        <x:f>IF(Firmwide_Financials!E6="","",Firmwide_Financials!E6)</x:f>
        <x:v>17176</x:v>
      </x:c>
    </x:row>
    <x:row r="5">
      <x:c r="A5" s="50" t="n">
        <x:v>2024</x:v>
      </x:c>
      <x:c r="B5" s="51" t="n">
        <x:f>IFERROR(Firmwide_Financials!B5/Firmwide_Financials!B4-1,"")</x:f>
        <x:v>0.1569161586024992</x:v>
      </x:c>
      <x:c r="C5" s="51" t="n">
        <x:f>IFERROR(Firmwide_Financials!C5/Firmwide_Financials!C4-1,"")</x:f>
        <x:v>-0.020877432075854685</x:v>
      </x:c>
      <x:c r="D5" s="51" t="n">
        <x:f>IFERROR(Firmwide_Financials!E5/Firmwide_Financials!E4-1,"")</x:f>
        <x:v>0.6763738844527947</x:v>
      </x:c>
      <x:c r="E5" s="51" t="n">
        <x:f>IFERROR(Firmwide_Financials!E5/Firmwide_Financials!B5,"")</x:f>
        <x:v>0.26678128270294516</x:v>
      </x:c>
      <x:c r="F5" s="51" t="n">
        <x:f>IFERROR(Firmwide_Financials!C5/Firmwide_Financials!B5,"")</x:f>
        <x:v>0.6310173419046196</x:v>
      </x:c>
      <x:c r="G5" s="51" t="n">
        <x:f>IFERROR(Firmwide_Financials!F5/Firmwide_Financials!F4-1,"")</x:f>
        <x:v>0.7726278968080453</x:v>
      </x:c>
      <x:c r="H5" s="51" t="n">
        <x:f>IF(Firmwide_Financials!G5="","",Firmwide_Financials!G5)</x:f>
        <x:v>0.127</x:v>
      </x:c>
      <x:c r="J5" s="63" t="str">
        <x:v>Diluted EPS</x:v>
      </x:c>
      <x:c r="K5" s="66" t="n">
        <x:f>IF(Firmwide_Financials!F6="","",Firmwide_Financials!F6)</x:f>
        <x:v>51.32</x:v>
      </x:c>
    </x:row>
    <x:row r="6">
      <x:c r="A6" s="50" t="n">
        <x:v>2025</x:v>
      </x:c>
      <x:c r="B6" s="51" t="n">
        <x:f>IFERROR(Firmwide_Financials!B6/Firmwide_Financials!B5-1,"")</x:f>
        <x:v>0.08915757213335329</x:v>
      </x:c>
      <x:c r="C6" s="51" t="n">
        <x:f>IFERROR(Firmwide_Financials!C6/Firmwide_Financials!C5-1,"")</x:f>
        <x:v>0.11185476944946249</x:v>
      </x:c>
      <x:c r="D6" s="51" t="n">
        <x:f>IFERROR(Firmwide_Financials!E6/Firmwide_Financials!E5-1,"")</x:f>
        <x:v>0.20313813393107316</x:v>
      </x:c>
      <x:c r="E6" s="51" t="n">
        <x:f>IFERROR(Firmwide_Financials!E6/Firmwide_Financials!B6,"")</x:f>
        <x:v>0.2946999982842338</x:v>
      </x:c>
      <x:c r="F6" s="51" t="n">
        <x:f>IFERROR(Firmwide_Financials!C6/Firmwide_Financials!B6,"")</x:f>
        <x:v>0.6441672528867766</x:v>
      </x:c>
      <x:c r="G6" s="51" t="n">
        <x:f>IFERROR(Firmwide_Financials!F6/Firmwide_Financials!F5-1,"")</x:f>
        <x:v>0.26591021213616184</x:v>
      </x:c>
      <x:c r="H6" s="51" t="n">
        <x:f>IF(Firmwide_Financials!G6="","",Firmwide_Financials!G6)</x:f>
        <x:v>0.15</x:v>
      </x:c>
      <x:c r="J6" s="63" t="str">
        <x:v>ROE</x:v>
      </x:c>
      <x:c r="K6" s="51" t="n">
        <x:f>IF(Firmwide_Financials!G6="","",Firmwide_Financials!G6)</x:f>
        <x:v>0.15</x:v>
      </x:c>
    </x:row>
    <x:row r="7">
      <x:c r="J7" s="63" t="str">
        <x:v>Expense / Revenue</x:v>
      </x:c>
      <x:c r="K7" s="51" t="n">
        <x:f>IFERROR(Firmwide_Financials!C6/Firmwide_Financials!B6,"")</x:f>
        <x:v>0.6441672528867766</x:v>
      </x:c>
    </x:row>
  </x:sheetData>
  <x:mergeCells>
    <x:mergeCell ref="J1:K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8" hidden="0" customWidth="1"/>
    <x:col min="3" max="3" width="48" hidden="0" customWidth="1"/>
    <x:col min="4" max="4" width="18" hidden="0" customWidth="1"/>
    <x:col min="5" max="5" width="20" hidden="0" customWidth="1"/>
  </x:cols>
  <x:sheetData>
    <x:row r="1">
      <x:c r="A1" s="74" t="str">
        <x:v>sheet_name</x:v>
      </x:c>
      <x:c r="B1" s="74" t="str">
        <x:v>field_name</x:v>
      </x:c>
      <x:c r="C1" s="74" t="str">
        <x:v>definition</x:v>
      </x:c>
      <x:c r="D1" s="74" t="str">
        <x:v>unit_or_format</x:v>
      </x:c>
      <x:c r="E1" s="74" t="str">
        <x:v>input_or_calculated</x:v>
      </x:c>
    </x:row>
    <x:row r="2">
      <x:c r="A2" s="78" t="str">
        <x:v>Firmwide_Financials</x:v>
      </x:c>
      <x:c r="B2" s="78" t="str">
        <x:v>year</x:v>
      </x:c>
      <x:c r="C2" s="78" t="str">
        <x:v>Fiscal year of the reported Goldman Sachs financial result.</x:v>
      </x:c>
      <x:c r="D2" s="78" t="str">
        <x:v>YYYY</x:v>
      </x:c>
      <x:c r="E2" s="78" t="str">
        <x:v>Input</x:v>
      </x:c>
    </x:row>
    <x:row r="3">
      <x:c r="A3" s="78" t="str">
        <x:v>Firmwide_Financials</x:v>
      </x:c>
      <x:c r="B3" s="78" t="str">
        <x:v>net_revenues_mm</x:v>
      </x:c>
      <x:c r="C3" s="78" t="str">
        <x:v>Total net revenues reported by Goldman Sachs.</x:v>
      </x:c>
      <x:c r="D3" s="78" t="str">
        <x:v>USD millions</x:v>
      </x:c>
      <x:c r="E3" s="78" t="str">
        <x:v>Input</x:v>
      </x:c>
    </x:row>
    <x:row r="4">
      <x:c r="A4" s="78" t="str">
        <x:v>Firmwide_Financials</x:v>
      </x:c>
      <x:c r="B4" s="78" t="str">
        <x:v>operating_expenses_mm</x:v>
      </x:c>
      <x:c r="C4" s="78" t="str">
        <x:v>Total operating expenses reported by Goldman Sachs.</x:v>
      </x:c>
      <x:c r="D4" s="78" t="str">
        <x:v>USD millions</x:v>
      </x:c>
      <x:c r="E4" s="78" t="str">
        <x:v>Input</x:v>
      </x:c>
    </x:row>
    <x:row r="5">
      <x:c r="A5" s="78" t="str">
        <x:v>Firmwide_Financials</x:v>
      </x:c>
      <x:c r="B5" s="78" t="str">
        <x:v>pre_tax_earnings_mm</x:v>
      </x:c>
      <x:c r="C5" s="78" t="str">
        <x:v>Earnings before income taxes.</x:v>
      </x:c>
      <x:c r="D5" s="78" t="str">
        <x:v>USD millions</x:v>
      </x:c>
      <x:c r="E5" s="78" t="str">
        <x:v>Input</x:v>
      </x:c>
    </x:row>
    <x:row r="6">
      <x:c r="A6" s="78" t="str">
        <x:v>Firmwide_Financials</x:v>
      </x:c>
      <x:c r="B6" s="78" t="str">
        <x:v>net_earnings_mm</x:v>
      </x:c>
      <x:c r="C6" s="78" t="str">
        <x:v>Net earnings reported for the fiscal year.</x:v>
      </x:c>
      <x:c r="D6" s="78" t="str">
        <x:v>USD millions</x:v>
      </x:c>
      <x:c r="E6" s="78" t="str">
        <x:v>Input</x:v>
      </x:c>
    </x:row>
    <x:row r="7">
      <x:c r="A7" s="78" t="str">
        <x:v>Firmwide_Financials</x:v>
      </x:c>
      <x:c r="B7" s="78" t="str">
        <x:v>diluted_eps</x:v>
      </x:c>
      <x:c r="C7" s="78" t="str">
        <x:v>Diluted earnings per common share.</x:v>
      </x:c>
      <x:c r="D7" s="78" t="str">
        <x:v>USD per share</x:v>
      </x:c>
      <x:c r="E7" s="78" t="str">
        <x:v>Input</x:v>
      </x:c>
    </x:row>
    <x:row r="8">
      <x:c r="A8" s="78" t="str">
        <x:v>Firmwide_Financials</x:v>
      </x:c>
      <x:c r="B8" s="78" t="str">
        <x:v>roe_percent</x:v>
      </x:c>
      <x:c r="C8" s="78" t="str">
        <x:v>Return on average common shareholders' equity as reported by Goldman Sachs.</x:v>
      </x:c>
      <x:c r="D8" s="78" t="str">
        <x:v>Percent</x:v>
      </x:c>
      <x:c r="E8" s="78" t="str">
        <x:v>Input</x:v>
      </x:c>
    </x:row>
    <x:row r="9">
      <x:c r="A9" s="78" t="str">
        <x:v>Business_Segments</x:v>
      </x:c>
      <x:c r="B9" s="78" t="str">
        <x:v>year</x:v>
      </x:c>
      <x:c r="C9" s="78" t="str">
        <x:v>Fiscal year of the reported segment result.</x:v>
      </x:c>
      <x:c r="D9" s="78" t="str">
        <x:v>YYYY</x:v>
      </x:c>
      <x:c r="E9" s="78" t="str">
        <x:v>Input</x:v>
      </x:c>
    </x:row>
    <x:row r="10">
      <x:c r="A10" s="78" t="str">
        <x:v>Business_Segments</x:v>
      </x:c>
      <x:c r="B10" s="78" t="str">
        <x:v>segment_name</x:v>
      </x:c>
      <x:c r="C10" s="78" t="str">
        <x:v>Official Goldman Sachs reportable segment name for that fiscal year.</x:v>
      </x:c>
      <x:c r="D10" s="78" t="str">
        <x:v>Text</x:v>
      </x:c>
      <x:c r="E10" s="78" t="str">
        <x:v>Input</x:v>
      </x:c>
    </x:row>
    <x:row r="11">
      <x:c r="A11" s="78" t="str">
        <x:v>Business_Segments</x:v>
      </x:c>
      <x:c r="B11" s="78" t="str">
        <x:v>net_revenues_mm</x:v>
      </x:c>
      <x:c r="C11" s="78" t="str">
        <x:v>Net revenues reported for the business segment.</x:v>
      </x:c>
      <x:c r="D11" s="78" t="str">
        <x:v>USD millions</x:v>
      </x:c>
      <x:c r="E11" s="78" t="str">
        <x:v>Input</x:v>
      </x:c>
    </x:row>
    <x:row r="12">
      <x:c r="A12" s="78" t="str">
        <x:v>Business_Segments</x:v>
      </x:c>
      <x:c r="B12" s="78" t="str">
        <x:v>pre_tax_earnings_mm</x:v>
      </x:c>
      <x:c r="C12" s="78" t="str">
        <x:v>Pre-tax earnings reported for the business segment.</x:v>
      </x:c>
      <x:c r="D12" s="78" t="str">
        <x:v>USD millions</x:v>
      </x:c>
      <x:c r="E12" s="78" t="str">
        <x:v>Input</x:v>
      </x:c>
    </x:row>
    <x:row r="13">
      <x:c r="A13" s="78" t="str">
        <x:v>Business_Segments</x:v>
      </x:c>
      <x:c r="B13" s="78" t="str">
        <x:v>source_id</x:v>
      </x:c>
      <x:c r="C13" s="78" t="str">
        <x:v>Identifier linking the row to the Source_Log tab.</x:v>
      </x:c>
      <x:c r="D13" s="78" t="str">
        <x:v>Text</x:v>
      </x:c>
      <x:c r="E13" s="78" t="str">
        <x:v>Input</x:v>
      </x:c>
    </x:row>
    <x:row r="14">
      <x:c r="A14" s="78" t="str">
        <x:v>Financial_Calculations</x:v>
      </x:c>
      <x:c r="B14" s="78" t="str">
        <x:v>revenue_yoy_growth</x:v>
      </x:c>
      <x:c r="C14" s="78" t="str">
        <x:v>Year-over-year change in net revenues.</x:v>
      </x:c>
      <x:c r="D14" s="78" t="str">
        <x:v>Percent</x:v>
      </x:c>
      <x:c r="E14" s="78" t="str">
        <x:v>Calculated</x:v>
      </x:c>
    </x:row>
    <x:row r="15">
      <x:c r="A15" s="78" t="str">
        <x:v>Financial_Calculations</x:v>
      </x:c>
      <x:c r="B15" s="78" t="str">
        <x:v>expense_yoy_growth</x:v>
      </x:c>
      <x:c r="C15" s="78" t="str">
        <x:v>Year-over-year change in operating expenses.</x:v>
      </x:c>
      <x:c r="D15" s="78" t="str">
        <x:v>Percent</x:v>
      </x:c>
      <x:c r="E15" s="78" t="str">
        <x:v>Calculated</x:v>
      </x:c>
    </x:row>
    <x:row r="16">
      <x:c r="A16" s="78" t="str">
        <x:v>Financial_Calculations</x:v>
      </x:c>
      <x:c r="B16" s="78" t="str">
        <x:v>net_earnings_yoy_growth</x:v>
      </x:c>
      <x:c r="C16" s="78" t="str">
        <x:v>Year-over-year change in net earnings.</x:v>
      </x:c>
      <x:c r="D16" s="78" t="str">
        <x:v>Percent</x:v>
      </x:c>
      <x:c r="E16" s="78" t="str">
        <x:v>Calculated</x:v>
      </x:c>
    </x:row>
    <x:row r="17">
      <x:c r="A17" s="78" t="str">
        <x:v>Financial_Calculations</x:v>
      </x:c>
      <x:c r="B17" s="78" t="str">
        <x:v>net_profit_margin</x:v>
      </x:c>
      <x:c r="C17" s="78" t="str">
        <x:v>Net earnings divided by net revenues.</x:v>
      </x:c>
      <x:c r="D17" s="78" t="str">
        <x:v>Percent</x:v>
      </x:c>
      <x:c r="E17" s="78" t="str">
        <x:v>Calculated</x:v>
      </x:c>
    </x:row>
    <x:row r="18">
      <x:c r="A18" s="78" t="str">
        <x:v>Financial_Calculations</x:v>
      </x:c>
      <x:c r="B18" s="78" t="str">
        <x:v>expense_to_revenue_ratio</x:v>
      </x:c>
      <x:c r="C18" s="78" t="str">
        <x:v>Operating expenses divided by net revenues.</x:v>
      </x:c>
      <x:c r="D18" s="78" t="str">
        <x:v>Percent</x:v>
      </x:c>
      <x:c r="E18" s="78" t="str">
        <x:v>Calculated</x:v>
      </x:c>
    </x:row>
    <x:row r="19">
      <x:c r="A19" s="78" t="str">
        <x:v>Financial_Calculations</x:v>
      </x:c>
      <x:c r="B19" s="78" t="str">
        <x:v>eps_yoy_growth</x:v>
      </x:c>
      <x:c r="C19" s="78" t="str">
        <x:v>Year-over-year change in diluted EPS.</x:v>
      </x:c>
      <x:c r="D19" s="78" t="str">
        <x:v>Percent</x:v>
      </x:c>
      <x:c r="E19" s="78" t="str">
        <x:v>Calculated</x:v>
      </x:c>
    </x:row>
    <x:row r="20">
      <x:c r="A20" s="78" t="str">
        <x:v>Financial_Calculations</x:v>
      </x:c>
      <x:c r="B20" s="78" t="str">
        <x:v>roe_percent</x:v>
      </x:c>
      <x:c r="C20" s="78" t="str">
        <x:v>ROE linked from Firmwide_Financials for comparison with other KPIs.</x:v>
      </x:c>
      <x:c r="D20" s="78" t="str">
        <x:v>Percent</x:v>
      </x:c>
      <x:c r="E20" s="78" t="str">
        <x:v>Linked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2" hidden="0" customWidth="1"/>
    <x:col min="3" max="3" width="24" hidden="0" customWidth="1"/>
    <x:col min="4" max="4" width="18" hidden="0" customWidth="1"/>
    <x:col min="5" max="5" width="34" hidden="0" customWidth="1"/>
    <x:col min="6" max="6" width="46" hidden="0" customWidth="1"/>
    <x:col min="7" max="7" width="16" hidden="0" customWidth="1"/>
    <x:col min="8" max="8" width="34" hidden="0" customWidth="1"/>
  </x:cols>
  <x:sheetData>
    <x:row r="1">
      <x:c r="A1" s="14" t="str">
        <x:v>source_id</x:v>
      </x:c>
      <x:c r="B1" s="14" t="str">
        <x:v>fiscal_year</x:v>
      </x:c>
      <x:c r="C1" s="14" t="str">
        <x:v>metric_or_table</x:v>
      </x:c>
      <x:c r="D1" s="14" t="str">
        <x:v>source_type</x:v>
      </x:c>
      <x:c r="E1" s="14" t="str">
        <x:v>document_title</x:v>
      </x:c>
      <x:c r="F1" s="14" t="str">
        <x:v>source_url</x:v>
      </x:c>
      <x:c r="G1" s="14" t="str">
        <x:v>date_accessed</x:v>
      </x:c>
      <x:c r="H1" s="14" t="str">
        <x:v>notes</x:v>
      </x:c>
    </x:row>
    <x:row r="2">
      <x:c r="A2" s="82" t="str">
        <x:v>GS_AR_2021</x:v>
      </x:c>
      <x:c r="B2" s="82" t="n">
        <x:v>2021</x:v>
      </x:c>
      <x:c r="C2" s="82" t="str">
        <x:v>Firmwide financial performance</x:v>
      </x:c>
      <x:c r="D2" s="82" t="str">
        <x:v>Annual Report / Form 10-K</x:v>
      </x:c>
      <x:c r="E2" s="82" t="str">
        <x:v>The Goldman Sachs Group, Inc. Annual Report 2021</x:v>
      </x:c>
      <x:c r="F2" s="82" t="str">
        <x:v>https://www.goldmansachs.com/investor-relations/financials/current/annual-reports/2021-annual-report</x:v>
      </x:c>
      <x:c r="G2" s="83" t="n">
        <x:v>46243</x:v>
      </x:c>
      <x:c r="H2" s="82" t="str">
        <x:v>Net revenues, operating expenses, pre-tax earnings, net earnings, diluted EPS, and ROE.</x:v>
      </x:c>
    </x:row>
    <x:row r="3">
      <x:c r="A3" s="82" t="str">
        <x:v>GS_AR_2022</x:v>
      </x:c>
      <x:c r="B3" s="82" t="n">
        <x:v>2022</x:v>
      </x:c>
      <x:c r="C3" s="82" t="str">
        <x:v>Firmwide financial performance</x:v>
      </x:c>
      <x:c r="D3" s="82" t="str">
        <x:v>Annual Report / Form 10-K</x:v>
      </x:c>
      <x:c r="E3" s="82" t="str">
        <x:v>The Goldman Sachs Group, Inc. Annual Report 2022</x:v>
      </x:c>
      <x:c r="F3" s="82" t="str">
        <x:v>https://www.goldmansachs.com/investor-relations/financials/current/annual-reports/2022-annual-report</x:v>
      </x:c>
      <x:c r="G3" s="83" t="n">
        <x:v>46243</x:v>
      </x:c>
      <x:c r="H3" s="82" t="str">
        <x:v>Net revenues, operating expenses, pre-tax earnings, net earnings, diluted EPS, and ROE.</x:v>
      </x:c>
    </x:row>
    <x:row r="4">
      <x:c r="A4" s="82" t="str">
        <x:v>GS_AR_2023</x:v>
      </x:c>
      <x:c r="B4" s="82" t="n">
        <x:v>2023</x:v>
      </x:c>
      <x:c r="C4" s="82" t="str">
        <x:v>Firmwide financial performance</x:v>
      </x:c>
      <x:c r="D4" s="82" t="str">
        <x:v>Annual Report / Form 10-K</x:v>
      </x:c>
      <x:c r="E4" s="82" t="str">
        <x:v>The Goldman Sachs Group, Inc. Annual Report 2023</x:v>
      </x:c>
      <x:c r="F4" s="82" t="str">
        <x:v>https://www.goldmansachs.com/investor-relations/financials/current/annual-reports/2023-annual-report</x:v>
      </x:c>
      <x:c r="G4" s="83" t="n">
        <x:v>46243</x:v>
      </x:c>
      <x:c r="H4" s="82" t="str">
        <x:v>Net revenues, operating expenses, pre-tax earnings, net earnings, diluted EPS, and ROE.</x:v>
      </x:c>
    </x:row>
    <x:row r="5">
      <x:c r="A5" s="82" t="str">
        <x:v>GS_AR_2024</x:v>
      </x:c>
      <x:c r="B5" s="82" t="n">
        <x:v>2024</x:v>
      </x:c>
      <x:c r="C5" s="82" t="str">
        <x:v>Firmwide financial performance</x:v>
      </x:c>
      <x:c r="D5" s="82" t="str">
        <x:v>Annual Report / Form 10-K</x:v>
      </x:c>
      <x:c r="E5" s="82" t="str">
        <x:v>The Goldman Sachs Group, Inc. Annual Report 2024</x:v>
      </x:c>
      <x:c r="F5" s="82" t="str">
        <x:v>https://www.goldmansachs.com/investor-relations/financials/current/annual-reports/2024-annual-report</x:v>
      </x:c>
      <x:c r="G5" s="83" t="n">
        <x:v>46243</x:v>
      </x:c>
      <x:c r="H5" s="82" t="str">
        <x:v>Net revenues, operating expenses, pre-tax earnings, net earnings, diluted EPS, and ROE.</x:v>
      </x:c>
    </x:row>
    <x:row r="6">
      <x:c r="A6" s="82" t="str">
        <x:v>GS_AR_2025</x:v>
      </x:c>
      <x:c r="B6" s="82" t="n">
        <x:v>2025</x:v>
      </x:c>
      <x:c r="C6" s="82" t="str">
        <x:v>Firmwide financial performance</x:v>
      </x:c>
      <x:c r="D6" s="82" t="str">
        <x:v>Annual Report / Form 10-K</x:v>
      </x:c>
      <x:c r="E6" s="82" t="str">
        <x:v>The Goldman Sachs Group, Inc. Annual Report 2025</x:v>
      </x:c>
      <x:c r="F6" s="82" t="str">
        <x:v>https://www.goldmansachs.com/investor-relations/financials/current/annual-reports/2025-annual-report</x:v>
      </x:c>
      <x:c r="G6" s="83" t="n">
        <x:v>46243</x:v>
      </x:c>
      <x:c r="H6" s="82" t="str">
        <x:v>Net revenues, operating expenses, pre-tax earnings, net earnings, diluted EPS, and ROE.</x:v>
      </x:c>
    </x:row>
    <x:row r="7">
      <x:c r="A7" s="94" t="str">
        <x:v>GS_2025_10K_SEGMENTS</x:v>
      </x:c>
      <x:c r="B7" s="94" t="n">
        <x:v>2025</x:v>
      </x:c>
      <x:c r="C7" s="94" t="str">
        <x:v>Business segment operating results, comparable 2023–2025</x:v>
      </x:c>
      <x:c r="D7" s="94" t="str">
        <x:v>Form 10-K / Segment Reporting</x:v>
      </x:c>
      <x:c r="E7" s="94" t="str">
        <x:v>The Goldman Sachs Group, Inc. 2025 Form 10-K — Business Segments</x:v>
      </x:c>
      <x:c r="F7" s="94" t="str">
        <x:v>https://www.sec.gov/Archives/edgar/data/886982/000088698226000091/R64.htm</x:v>
      </x:c>
      <x:c r="G7" s="95" t="n">
        <x:v>46243</x:v>
      </x:c>
      <x:c r="H7" s="94" t="str">
        <x:v>Source provides comparable 2025, 2024, and 2023 segment net revenues and pre-tax earnings after 2025 segment presentation changes.</x:v>
      </x:c>
    </x:row>
    <x:row r="8">
      <x:c r="A8" s="82"/>
      <x:c r="B8" s="82"/>
      <x:c r="C8" s="82"/>
      <x:c r="D8" s="82"/>
      <x:c r="E8" s="82"/>
      <x:c r="F8" s="82"/>
      <x:c r="G8" s="83"/>
      <x:c r="H8" s="82"/>
    </x:row>
    <x:row r="9">
      <x:c r="A9" s="82"/>
      <x:c r="B9" s="82"/>
      <x:c r="C9" s="82"/>
      <x:c r="D9" s="82"/>
      <x:c r="E9" s="82"/>
      <x:c r="F9" s="82"/>
      <x:c r="G9" s="83"/>
      <x:c r="H9" s="82"/>
    </x:row>
    <x:row r="10">
      <x:c r="A10" s="82"/>
      <x:c r="B10" s="82"/>
      <x:c r="C10" s="82"/>
      <x:c r="D10" s="82"/>
      <x:c r="E10" s="82"/>
      <x:c r="F10" s="82"/>
      <x:c r="G10" s="83"/>
      <x:c r="H10" s="82"/>
    </x:row>
    <x:row r="11">
      <x:c r="A11" s="82"/>
      <x:c r="B11" s="82"/>
      <x:c r="C11" s="82"/>
      <x:c r="D11" s="82"/>
      <x:c r="E11" s="82"/>
      <x:c r="F11" s="82"/>
      <x:c r="G11" s="83"/>
      <x:c r="H11" s="82"/>
    </x:row>
    <x:row r="13">
      <x:c r="A13" s="88" t="str">
        <x:v>Source rule: every hardcoded financial input should be traceable to an official Goldman Sachs annual report, earnings release, or SEC filing.</x:v>
      </x:c>
      <x:c r="B13" s="88"/>
      <x:c r="C13" s="88"/>
      <x:c r="D13" s="88"/>
      <x:c r="E13" s="88"/>
      <x:c r="F13" s="88"/>
      <x:c r="G13" s="88"/>
      <x:c r="H13" s="88"/>
    </x:row>
  </x:sheetData>
  <x:mergeCells>
    <x:mergeCell ref="A13:H13"/>
  </x:mergeCells>
  <x:pageMargins left="0.7" right="0.7" top="0.75" bottom="0.75" header="0.3" footer="0.3"/>
</x:worksheet>
</file>